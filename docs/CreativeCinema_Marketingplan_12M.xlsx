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ahmen" sheetId="1" state="visible" r:id="rId3"/>
    <sheet name="Monatsbudget" sheetId="2" state="visible" r:id="rId4"/>
    <sheet name="Maßnahmenkalender" sheetId="3" state="visible" r:id="rId5"/>
    <sheet name="KP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<sst xmlns="http://schemas.openxmlformats.org/spreadsheetml/2006/main" count="217" uniqueCount="156">
  <si>
    <t xml:space="preserve">CreativeCinema GmbH – Marketingplan 2026/27 – Annahmen</t>
  </si>
  <si>
    <t xml:space="preserve">Annahme</t>
  </si>
  <si>
    <t xml:space="preserve">Wert</t>
  </si>
  <si>
    <t xml:space="preserve">Quelle / Kommentar</t>
  </si>
  <si>
    <t xml:space="preserve">Umsatz Ist (Basis)</t>
  </si>
  <si>
    <t xml:space="preserve">Angabe Geschäftsführung</t>
  </si>
  <si>
    <t xml:space="preserve">Umsatzziel (24 Monate)</t>
  </si>
  <si>
    <t xml:space="preserve">Wachstumsstrategie, 3 Hebel</t>
  </si>
  <si>
    <t xml:space="preserve">Ziel-EBIT-Marge</t>
  </si>
  <si>
    <t xml:space="preserve">Vorgabe Geschäftsführung</t>
  </si>
  <si>
    <t xml:space="preserve">Marketingbudget (% v. Umsatz Ist)</t>
  </si>
  <si>
    <t xml:space="preserve">Branchenüblich 4–5 % bei EBIT-Disziplin</t>
  </si>
  <si>
    <t xml:space="preserve">Ziel Kosten pro qualifiziertem Lead</t>
  </si>
  <si>
    <t xml:space="preserve">Steuerungsgröße</t>
  </si>
  <si>
    <t xml:space="preserve">Ziel Vermietungstage / Jahr</t>
  </si>
  <si>
    <t xml:space="preserve">Hebel 1: Studiovermietung</t>
  </si>
  <si>
    <t xml:space="preserve">Ziel Retainer-Kunden (Ende Jahr 1)</t>
  </si>
  <si>
    <t xml:space="preserve">Hebel 2: Content-Abos</t>
  </si>
  <si>
    <t xml:space="preserve">Ø Retainer-Wert / Monat</t>
  </si>
  <si>
    <t xml:space="preserve">Hebel 2</t>
  </si>
  <si>
    <t xml:space="preserve">Ø Tagessatz Studiovermietung</t>
  </si>
  <si>
    <t xml:space="preserve">Hebel 1</t>
  </si>
  <si>
    <t xml:space="preserve">Jahres-Marketingbudget</t>
  </si>
  <si>
    <t xml:space="preserve">Formel: Umsatz Ist × Budgetquote</t>
  </si>
  <si>
    <t xml:space="preserve">Monatsbudget nach Kanal (alle Werte in €)</t>
  </si>
  <si>
    <t xml:space="preserve">Kanal / Maßnahme</t>
  </si>
  <si>
    <t xml:space="preserve">Hebel</t>
  </si>
  <si>
    <t xml:space="preserve">Jan</t>
  </si>
  <si>
    <t xml:space="preserve">Feb</t>
  </si>
  <si>
    <t xml:space="preserve">Mär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</si>
  <si>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</si>
  <si>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</si>
  <si>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</si>
  <si>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</si>
  <si>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</si>
  <si>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</si>
  <si>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</si>
  <si>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</si>
  <si>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</si>
  <si>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Summe</t>
  </si>
  <si>
    <t xml:space="preserve">Anteil</t>
  </si>
  <si>
    <t xml:space="preserve">LINKEDIN</t>
  </si>
  <si>
    <t xml:space="preserve">LinkedIn Ads (Thought-Leader auf Entscheider)</t>
  </si>
  <si>
    <t xml:space="preserve">2 Retainer</t>
  </si>
  <si>
    <t xml:space="preserve">Content-Boost Demo-Film / Rechner-Kampagne</t>
  </si>
  <si>
    <t xml:space="preserve">2+3</t>
  </si>
  <si>
    <t xml:space="preserve">GOOGLE ADS</t>
  </si>
  <si>
    <t xml:space="preserve">Mietkeywords (LED Studio mieten etc.)</t>
  </si>
  <si>
    <t xml:space="preserve">1 Vermietung</t>
  </si>
  <si>
    <t xml:space="preserve">Nischen-Keywords (Virtual Production, XR)</t>
  </si>
  <si>
    <t xml:space="preserve">3 Projekte</t>
  </si>
  <si>
    <t xml:space="preserve">EVENTS &amp; NETZWERKE</t>
  </si>
  <si>
    <t xml:space="preserve">Open-Studio-Tag (Catering, Einladungen)</t>
  </si>
  <si>
    <t xml:space="preserve">1+2</t>
  </si>
  <si>
    <t xml:space="preserve">Mitgliedschaften (Marketing Club, BVMW, IHK)</t>
  </si>
  <si>
    <t xml:space="preserve">Messe-Mailings + Vor-Ort-Aktionen (SPS, ew)</t>
  </si>
  <si>
    <t xml:space="preserve">WEB, SEO &amp; TOOLS</t>
  </si>
  <si>
    <t xml:space="preserve">Landingpages (Pakete, Mietseite, Rechner)</t>
  </si>
  <si>
    <t xml:space="preserve">1+2+3</t>
  </si>
  <si>
    <t xml:space="preserve">SEO-Pflege, Verzeichnisse, Locationguides</t>
  </si>
  <si>
    <t xml:space="preserve">1+3</t>
  </si>
  <si>
    <t xml:space="preserve">Tools (CRM-Tracking, E-Mail, Analytics)</t>
  </si>
  <si>
    <t xml:space="preserve">alle</t>
  </si>
  <si>
    <t xml:space="preserve">GESAMT / Monat</t>
  </si>
  <si>
    <t xml:space="preserve">Abgleich Jahresbudget (Annahmen)</t>
  </si>
  <si>
    <t xml:space="preserve">Abweichung (Plan – Budget)</t>
  </si>
  <si>
    <t xml:space="preserve">Maßnahmenkalender – 12 Monate</t>
  </si>
  <si>
    <t xml:space="preserve">Monat</t>
  </si>
  <si>
    <t xml:space="preserve">Maßnahme</t>
  </si>
  <si>
    <t xml:space="preserve">Ziel / Ergebnis</t>
  </si>
  <si>
    <t xml:space="preserve">Verantwortlich</t>
  </si>
  <si>
    <t xml:space="preserve">Status</t>
  </si>
  <si>
    <t xml:space="preserve">M1 (Start)</t>
  </si>
  <si>
    <t xml:space="preserve">1</t>
  </si>
  <si>
    <t xml:space="preserve">Mietseite live: 'LED-Studio mieten' + Google Ads Mietkeywords starten</t>
  </si>
  <si>
    <t xml:space="preserve">Erste Mietanfragen ab Woche 2</t>
  </si>
  <si>
    <t xml:space="preserve">GF</t>
  </si>
  <si>
    <t xml:space="preserve">M1</t>
  </si>
  <si>
    <t xml:space="preserve">Einträge Locationguide Bayern, Studioverzeichnisse, Google Business optimieren</t>
  </si>
  <si>
    <t xml:space="preserve">Dauerhafte Auffindbarkeit</t>
  </si>
  <si>
    <t xml:space="preserve">Team</t>
  </si>
  <si>
    <t xml:space="preserve">2</t>
  </si>
  <si>
    <t xml:space="preserve">LinkedIn-Redaktionsplan: 2–3 Posts/Woche Behind-the-scenes festlegen</t>
  </si>
  <si>
    <t xml:space="preserve">Sichtbarkeit bei Entscheidern</t>
  </si>
  <si>
    <t xml:space="preserve">CRM-/Lead-Tracking einrichten (Quelle je Lead, CPL messbar)</t>
  </si>
  <si>
    <t xml:space="preserve">Steuerbarkeit aller KPIs</t>
  </si>
  <si>
    <t xml:space="preserve">M2</t>
  </si>
  <si>
    <t xml:space="preserve">Zielliste: 150–300 Agenturen/Fotografen/Eventtechniker + 100 Industrie-Marketingleiter</t>
  </si>
  <si>
    <t xml:space="preserve">Vertriebsbasis steht</t>
  </si>
  <si>
    <t xml:space="preserve">3</t>
  </si>
  <si>
    <t xml:space="preserve">Messe-Mailing 1 an Aussteller (Frühjahrsmessen): 'Messefilm aus dem XR-Studio'</t>
  </si>
  <si>
    <t xml:space="preserve">10+ Erstgespräche</t>
  </si>
  <si>
    <t xml:space="preserve">M3</t>
  </si>
  <si>
    <t xml:space="preserve">Open-Studio-Tag #1 (Agenturen &amp; Eventtechnik einladen)</t>
  </si>
  <si>
    <t xml:space="preserve">20+ Besucher, 3+ Mietleads</t>
  </si>
  <si>
    <t xml:space="preserve">LinkedIn Ads hochfahren auf beste organische Posts</t>
  </si>
  <si>
    <t xml:space="preserve">CPL &lt; 300 € validieren</t>
  </si>
  <si>
    <t xml:space="preserve">M4</t>
  </si>
  <si>
    <t xml:space="preserve">Produktion Demo-Film 'Was kostet ein Drehtag wirklich?' (Eigenleistung)</t>
  </si>
  <si>
    <t xml:space="preserve">Leuchtturm-Asset fertig</t>
  </si>
  <si>
    <t xml:space="preserve">M5</t>
  </si>
  <si>
    <t xml:space="preserve">Landingpage mit Kostenvergleichs-Rechner live + Kampagnenstart</t>
  </si>
  <si>
    <t xml:space="preserve">50+ Rechner-Nutzungen/Monat</t>
  </si>
  <si>
    <t xml:space="preserve">Festpreis-Pakete auf Website (Recruiting-Tag, Messe-Paket, Reels-Abo)</t>
  </si>
  <si>
    <t xml:space="preserve">Anfragen ohne Angebots-Pingpong</t>
  </si>
  <si>
    <t xml:space="preserve">M6</t>
  </si>
  <si>
    <t xml:space="preserve">Open-Studio-Tag #2 + erster Vortrag (Marketing Club / IHK): 'Virtual Production für den Mittelstand'</t>
  </si>
  <si>
    <t xml:space="preserve">5+ qualifizierte Leads</t>
  </si>
  <si>
    <t xml:space="preserve">Halbjahres-Review: CPL, Mietauslastung, Pipeline je Hebel – Budget umschichten</t>
  </si>
  <si>
    <t xml:space="preserve">Datenbasierte Korrektur</t>
  </si>
  <si>
    <t xml:space="preserve">M7</t>
  </si>
  <si>
    <t xml:space="preserve">Case Study #1 mit Zahlen (eingesparte Drehtage/Locations) publizieren</t>
  </si>
  <si>
    <t xml:space="preserve">Beweis statt Behauptung</t>
  </si>
  <si>
    <t xml:space="preserve">Retainer-Kampagne: Bestandskunden + warme Leads aktiv auf Content-Abo ansprechen</t>
  </si>
  <si>
    <t xml:space="preserve">2 Retainer-Abschlüsse bis M9</t>
  </si>
  <si>
    <t xml:space="preserve">M8</t>
  </si>
  <si>
    <t xml:space="preserve">Nachfass-Welle Mietliste (alle Nicht-Reagierer aus M2)</t>
  </si>
  <si>
    <t xml:space="preserve">10 Studiobesichtigungen</t>
  </si>
  <si>
    <t xml:space="preserve">M9</t>
  </si>
  <si>
    <t xml:space="preserve">Messe-Offensive SPS/Herbstmessen: Mailing + Vor-Ort-Content-Service anbieten</t>
  </si>
  <si>
    <t xml:space="preserve">5+ Messefilm-Aufträge</t>
  </si>
  <si>
    <t xml:space="preserve">Open-Studio-Tag #3 (Fokus: HR-Leiter, Thema Recruiting-Video)</t>
  </si>
  <si>
    <t xml:space="preserve">Neue Zielgruppe erschlossen</t>
  </si>
  <si>
    <t xml:space="preserve">M10</t>
  </si>
  <si>
    <t xml:space="preserve">Case Study #2 (Retainer-Kunde: Serien-Content aus virtuellem Set)</t>
  </si>
  <si>
    <t xml:space="preserve">Retainer-Vertrieb skaliert</t>
  </si>
  <si>
    <t xml:space="preserve">M11</t>
  </si>
  <si>
    <t xml:space="preserve">SPS-Woche: tägl. LinkedIn-Content live von der Messe + Sofort-Angebote</t>
  </si>
  <si>
    <t xml:space="preserve">Sichtbarkeit zur Kaufzeit</t>
  </si>
  <si>
    <t xml:space="preserve">M12</t>
  </si>
  <si>
    <t xml:space="preserve">Jahres-Review: KPI-Bilanz, Budget 2.0 planen, Preisrunde Pakete</t>
  </si>
  <si>
    <t xml:space="preserve">Plan Jahr 2 (Ziel 28–30 % EBIT)</t>
  </si>
  <si>
    <t xml:space="preserve">Open-Studio-Tag #4 / Jahresabschluss-Event</t>
  </si>
  <si>
    <t xml:space="preserve">Kundenbindung Retainer</t>
  </si>
  <si>
    <t xml:space="preserve">Steuerungs-KPIs (monatlich prüfen)</t>
  </si>
  <si>
    <t xml:space="preserve">KPI</t>
  </si>
  <si>
    <t xml:space="preserve">Zielwert Jahr 1</t>
  </si>
  <si>
    <t xml:space="preserve">Messung / Quelle</t>
  </si>
  <si>
    <t xml:space="preserve">Vermietungstage Studio</t>
  </si>
  <si>
    <t xml:space="preserve">Kalender / Rechnungen</t>
  </si>
  <si>
    <t xml:space="preserve">Umsatz Vermietung</t>
  </si>
  <si>
    <t xml:space="preserve">Tage × Ø Tagessatz</t>
  </si>
  <si>
    <t xml:space="preserve">Retainer-Kunden (Bestand)</t>
  </si>
  <si>
    <t xml:space="preserve">CRM</t>
  </si>
  <si>
    <t xml:space="preserve">Wiederkehrender Umsatz (Jahresende, p.a.)</t>
  </si>
  <si>
    <t xml:space="preserve">Kunden × Wert × 12</t>
  </si>
  <si>
    <t xml:space="preserve">Kosten pro qualifiziertem Lead</t>
  </si>
  <si>
    <t xml:space="preserve">Marketingkosten ÷ Leads (CRM)</t>
  </si>
  <si>
    <t xml:space="preserve">Qualifizierte Leads / Monat</t>
  </si>
  <si>
    <t xml:space="preserve">Monatsbudget ÷ Ziel-CPL</t>
  </si>
  <si>
    <t xml:space="preserve">Lead → Erstgespräch-Quote</t>
  </si>
  <si>
    <t xml:space="preserve">CRM; Zielwert 40 %</t>
  </si>
  <si>
    <t xml:space="preserve">Anteil wiederkehrender Umsatz am Gesamtumsatz</t>
  </si>
  <si>
    <t xml:space="preserve">Retainer ÷ Umsatzziel</t>
  </si>
  <si>
    <t xml:space="preserve">LinkedIn: Reichweite Entscheider-Zielgruppe</t>
  </si>
  <si>
    <t xml:space="preserve">LinkedIn Analytics, Impressionen/Monat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</si>
</sst>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(#,##0&quot; €)&quot;;\-"/>
    <numFmt numFmtId="166" formatCode="0.0%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46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5" t="n">
        <v>500000</v>
      </c>
      <c r="C4" s="6" t="s">
        <v>5</v>
      </c>
    </row>
    <row r="5" customFormat="false" ht="15" hidden="false" customHeight="true" outlineLevel="0" collapsed="false">
      <c r="A5" s="4" t="s">
        <v>6</v>
      </c>
      <c r="B5" s="5" t="n">
        <v>700000</v>
      </c>
      <c r="C5" s="6" t="s">
        <v>7</v>
      </c>
    </row>
    <row r="6" customFormat="false" ht="15" hidden="false" customHeight="true" outlineLevel="0" collapsed="false">
      <c r="A6" s="4" t="s">
        <v>8</v>
      </c>
      <c r="B6" s="7" t="n">
        <v>0.3</v>
      </c>
      <c r="C6" s="6" t="s">
        <v>9</v>
      </c>
    </row>
    <row r="7" customFormat="false" ht="15" hidden="false" customHeight="true" outlineLevel="0" collapsed="false">
      <c r="A7" s="4" t="s">
        <v>10</v>
      </c>
      <c r="B7" s="7" t="n">
        <v>0.048</v>
      </c>
      <c r="C7" s="6" t="s">
        <v>11</v>
      </c>
    </row>
    <row r="8" customFormat="false" ht="15" hidden="false" customHeight="true" outlineLevel="0" collapsed="false">
      <c r="A8" s="4" t="s">
        <v>12</v>
      </c>
      <c r="B8" s="5" t="n">
        <v>300</v>
      </c>
      <c r="C8" s="6" t="s">
        <v>13</v>
      </c>
    </row>
    <row r="9" customFormat="false" ht="15" hidden="false" customHeight="true" outlineLevel="0" collapsed="false">
      <c r="A9" s="4" t="s">
        <v>14</v>
      </c>
      <c r="B9" s="8" t="n">
        <v>45</v>
      </c>
      <c r="C9" s="6" t="s">
        <v>15</v>
      </c>
    </row>
    <row r="10" customFormat="false" ht="15" hidden="false" customHeight="true" outlineLevel="0" collapsed="false">
      <c r="A10" s="4" t="s">
        <v>16</v>
      </c>
      <c r="B10" s="8" t="n">
        <v>4</v>
      </c>
      <c r="C10" s="6" t="s">
        <v>17</v>
      </c>
    </row>
    <row r="11" customFormat="false" ht="15" hidden="false" customHeight="true" outlineLevel="0" collapsed="false">
      <c r="A11" s="4" t="s">
        <v>18</v>
      </c>
      <c r="B11" s="5" t="n">
        <v>2500</v>
      </c>
      <c r="C11" s="6" t="s">
        <v>19</v>
      </c>
    </row>
    <row r="12" customFormat="false" ht="15" hidden="false" customHeight="true" outlineLevel="0" collapsed="false">
      <c r="A12" s="4" t="s">
        <v>20</v>
      </c>
      <c r="B12" s="5" t="n">
        <v>2500</v>
      </c>
      <c r="C12" s="6" t="s">
        <v>21</v>
      </c>
    </row>
    <row r="13" customFormat="false" ht="15" hidden="false" customHeight="true" outlineLevel="0" collapsed="false">
      <c r="A13" s="9" t="s">
        <v>22</v>
      </c>
      <c r="B13" s="10" t="n">
        <f aca="false">B4*B7</f>
        <v>24000</v>
      </c>
      <c r="C13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14" min="3" style="1" width="8"/>
    <col collapsed="false" customWidth="true" hidden="false" outlineLevel="0" max="15" min="15" style="1" width="10"/>
    <col collapsed="false" customWidth="true" hidden="false" outlineLevel="0" max="16" min="16" style="1" width="8"/>
  </cols>
  <sheetData>
    <row r="1" customFormat="false" ht="17.25" hidden="false" customHeight="true" outlineLevel="0" collapsed="false">
      <c r="A1" s="2" t="s">
        <v>24</v>
      </c>
    </row>
    <row r="3" customFormat="false" ht="15" hidden="false" customHeight="true" outlineLevel="0" collapsed="false">
      <c r="A3" s="11" t="s">
        <v>25</v>
      </c>
      <c r="B3" s="11" t="s">
        <v>26</v>
      </c>
      <c r="C3" s="11" t="s">
        <v>27</v>
      </c>
      <c r="D3" s="11" t="s">
        <v>28</v>
      </c>
      <c r="E3" s="11" t="s">
        <v>29</v>
      </c>
      <c r="F3" s="11" t="s">
        <v>30</v>
      </c>
      <c r="G3" s="11" t="s">
        <v>31</v>
      </c>
      <c r="H3" s="11" t="s">
        <v>32</v>
      </c>
      <c r="I3" s="11" t="s">
        <v>33</v>
      </c>
      <c r="J3" s="11" t="s">
        <v>34</v>
      </c>
      <c r="K3" s="11" t="s">
        <v>35</v>
      </c>
      <c r="L3" s="11" t="s">
        <v>36</v>
      </c>
      <c r="M3" s="11" t="s">
        <v>37</v>
      </c>
      <c r="N3" s="11" t="s">
        <v>38</v>
      </c>
      <c r="O3" s="11" t="s">
        <v>39</v>
      </c>
      <c r="P3" s="11" t="s">
        <v>40</v>
      </c>
    </row>
    <row r="4" customFormat="false" ht="15" hidden="false" customHeight="true" outlineLevel="0" collapsed="false">
      <c r="A4" s="12" t="s">
        <v>41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" hidden="false" customHeight="true" outlineLevel="0" collapsed="false">
      <c r="A5" s="4" t="s">
        <v>42</v>
      </c>
      <c r="B5" s="14" t="s">
        <v>43</v>
      </c>
      <c r="C5" s="5" t="n">
        <v>300</v>
      </c>
      <c r="D5" s="5" t="n">
        <v>300</v>
      </c>
      <c r="E5" s="5" t="n">
        <v>500</v>
      </c>
      <c r="F5" s="5" t="n">
        <v>600</v>
      </c>
      <c r="G5" s="5" t="n">
        <v>600</v>
      </c>
      <c r="H5" s="5" t="n">
        <v>600</v>
      </c>
      <c r="I5" s="5" t="n">
        <v>600</v>
      </c>
      <c r="J5" s="5" t="n">
        <v>500</v>
      </c>
      <c r="K5" s="5" t="n">
        <v>800</v>
      </c>
      <c r="L5" s="5" t="n">
        <v>800</v>
      </c>
      <c r="M5" s="5" t="n">
        <v>800</v>
      </c>
      <c r="N5" s="5" t="n">
        <v>800</v>
      </c>
      <c r="O5" s="15" t="n">
        <f aca="false">SUM(C5:N5)</f>
        <v>7200</v>
      </c>
      <c r="P5" s="16" t="n">
        <f aca="false">O5/$O$18</f>
        <v>0.300500834724541</v>
      </c>
    </row>
    <row r="6" customFormat="false" ht="15" hidden="false" customHeight="true" outlineLevel="0" collapsed="false">
      <c r="A6" s="4" t="s">
        <v>44</v>
      </c>
      <c r="B6" s="14" t="s">
        <v>45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300</v>
      </c>
      <c r="H6" s="5" t="n">
        <v>300</v>
      </c>
      <c r="I6" s="5" t="n">
        <v>300</v>
      </c>
      <c r="J6" s="5" t="n">
        <v>300</v>
      </c>
      <c r="K6" s="5" t="n">
        <v>200</v>
      </c>
      <c r="L6" s="5" t="n">
        <v>200</v>
      </c>
      <c r="M6" s="5" t="n">
        <v>200</v>
      </c>
      <c r="N6" s="5" t="n">
        <v>200</v>
      </c>
      <c r="O6" s="15" t="n">
        <f aca="false">SUM(C6:N6)</f>
        <v>2000</v>
      </c>
      <c r="P6" s="16" t="n">
        <f aca="false">O6/$O$18</f>
        <v>0.0834724540901503</v>
      </c>
    </row>
    <row r="7" customFormat="false" ht="15" hidden="false" customHeight="true" outlineLevel="0" collapsed="false">
      <c r="A7" s="12" t="s">
        <v>46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15" hidden="false" customHeight="true" outlineLevel="0" collapsed="false">
      <c r="A8" s="4" t="s">
        <v>47</v>
      </c>
      <c r="B8" s="14" t="s">
        <v>48</v>
      </c>
      <c r="C8" s="5" t="n">
        <v>400</v>
      </c>
      <c r="D8" s="5" t="n">
        <v>400</v>
      </c>
      <c r="E8" s="5" t="n">
        <v>400</v>
      </c>
      <c r="F8" s="5" t="n">
        <v>400</v>
      </c>
      <c r="G8" s="5" t="n">
        <v>400</v>
      </c>
      <c r="H8" s="5" t="n">
        <v>400</v>
      </c>
      <c r="I8" s="5" t="n">
        <v>400</v>
      </c>
      <c r="J8" s="5" t="n">
        <v>400</v>
      </c>
      <c r="K8" s="5" t="n">
        <v>400</v>
      </c>
      <c r="L8" s="5" t="n">
        <v>400</v>
      </c>
      <c r="M8" s="5" t="n">
        <v>400</v>
      </c>
      <c r="N8" s="5" t="n">
        <v>400</v>
      </c>
      <c r="O8" s="15" t="n">
        <f aca="false">SUM(C8:N8)</f>
        <v>4800</v>
      </c>
      <c r="P8" s="16" t="n">
        <f aca="false">O8/$O$18</f>
        <v>0.200333889816361</v>
      </c>
    </row>
    <row r="9" customFormat="false" ht="15" hidden="false" customHeight="true" outlineLevel="0" collapsed="false">
      <c r="A9" s="4" t="s">
        <v>49</v>
      </c>
      <c r="B9" s="14" t="s">
        <v>50</v>
      </c>
      <c r="C9" s="5" t="n">
        <v>0</v>
      </c>
      <c r="D9" s="5" t="n">
        <v>100</v>
      </c>
      <c r="E9" s="5" t="n">
        <v>100</v>
      </c>
      <c r="F9" s="5" t="n">
        <v>150</v>
      </c>
      <c r="G9" s="5" t="n">
        <v>150</v>
      </c>
      <c r="H9" s="5" t="n">
        <v>150</v>
      </c>
      <c r="I9" s="5" t="n">
        <v>150</v>
      </c>
      <c r="J9" s="5" t="n">
        <v>150</v>
      </c>
      <c r="K9" s="5" t="n">
        <v>200</v>
      </c>
      <c r="L9" s="5" t="n">
        <v>200</v>
      </c>
      <c r="M9" s="5" t="n">
        <v>250</v>
      </c>
      <c r="N9" s="5" t="n">
        <v>200</v>
      </c>
      <c r="O9" s="15" t="n">
        <f aca="false">SUM(C9:N9)</f>
        <v>1800</v>
      </c>
      <c r="P9" s="16" t="n">
        <f aca="false">O9/$O$18</f>
        <v>0.0751252086811352</v>
      </c>
    </row>
    <row r="10" customFormat="false" ht="15" hidden="false" customHeight="true" outlineLevel="0" collapsed="false">
      <c r="A10" s="12" t="s">
        <v>51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15" hidden="false" customHeight="true" outlineLevel="0" collapsed="false">
      <c r="A11" s="4" t="s">
        <v>52</v>
      </c>
      <c r="B11" s="14" t="s">
        <v>53</v>
      </c>
      <c r="C11" s="5" t="n">
        <v>0</v>
      </c>
      <c r="D11" s="5" t="n">
        <v>0</v>
      </c>
      <c r="E11" s="5" t="n">
        <v>400</v>
      </c>
      <c r="F11" s="5" t="n">
        <v>0</v>
      </c>
      <c r="G11" s="5" t="n">
        <v>0</v>
      </c>
      <c r="H11" s="5" t="n">
        <v>400</v>
      </c>
      <c r="I11" s="5" t="n">
        <v>0</v>
      </c>
      <c r="J11" s="5" t="n">
        <v>0</v>
      </c>
      <c r="K11" s="5" t="n">
        <v>400</v>
      </c>
      <c r="L11" s="5" t="n">
        <v>0</v>
      </c>
      <c r="M11" s="5" t="n">
        <v>0</v>
      </c>
      <c r="N11" s="5" t="n">
        <v>400</v>
      </c>
      <c r="O11" s="15" t="n">
        <f aca="false">SUM(C11:N11)</f>
        <v>1600</v>
      </c>
      <c r="P11" s="16" t="n">
        <f aca="false">O11/$O$18</f>
        <v>0.0667779632721202</v>
      </c>
    </row>
    <row r="12" customFormat="false" ht="15" hidden="false" customHeight="true" outlineLevel="0" collapsed="false">
      <c r="A12" s="4" t="s">
        <v>54</v>
      </c>
      <c r="B12" s="14" t="s">
        <v>45</v>
      </c>
      <c r="C12" s="5" t="n">
        <v>900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600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15" t="n">
        <f aca="false">SUM(C12:N12)</f>
        <v>1500</v>
      </c>
      <c r="P12" s="16" t="n">
        <f aca="false">O12/$O$18</f>
        <v>0.0626043405676127</v>
      </c>
    </row>
    <row r="13" customFormat="false" ht="15" hidden="false" customHeight="true" outlineLevel="0" collapsed="false">
      <c r="A13" s="4" t="s">
        <v>55</v>
      </c>
      <c r="B13" s="14" t="s">
        <v>50</v>
      </c>
      <c r="C13" s="5" t="n">
        <v>0</v>
      </c>
      <c r="D13" s="5" t="n">
        <v>200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300</v>
      </c>
      <c r="L13" s="5" t="n">
        <v>300</v>
      </c>
      <c r="M13" s="5" t="n">
        <v>300</v>
      </c>
      <c r="N13" s="5" t="n">
        <v>0</v>
      </c>
      <c r="O13" s="15" t="n">
        <f aca="false">SUM(C13:N13)</f>
        <v>1100</v>
      </c>
      <c r="P13" s="16" t="n">
        <f aca="false">O13/$O$18</f>
        <v>0.0459098497495826</v>
      </c>
    </row>
    <row r="14" customFormat="false" ht="15" hidden="false" customHeight="true" outlineLevel="0" collapsed="false">
      <c r="A14" s="12" t="s">
        <v>56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15" hidden="false" customHeight="true" outlineLevel="0" collapsed="false">
      <c r="A15" s="4" t="s">
        <v>57</v>
      </c>
      <c r="B15" s="14" t="s">
        <v>58</v>
      </c>
      <c r="C15" s="5" t="n">
        <v>400</v>
      </c>
      <c r="D15" s="5" t="n">
        <v>400</v>
      </c>
      <c r="E15" s="5" t="n">
        <v>0</v>
      </c>
      <c r="F15" s="5" t="n">
        <v>600</v>
      </c>
      <c r="G15" s="5" t="n">
        <v>600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15" t="n">
        <f aca="false">SUM(C15:N15)</f>
        <v>2000</v>
      </c>
      <c r="P15" s="16" t="n">
        <f aca="false">O15/$O$18</f>
        <v>0.0834724540901503</v>
      </c>
    </row>
    <row r="16" customFormat="false" ht="15" hidden="false" customHeight="true" outlineLevel="0" collapsed="false">
      <c r="A16" s="4" t="s">
        <v>59</v>
      </c>
      <c r="B16" s="14" t="s">
        <v>60</v>
      </c>
      <c r="C16" s="5" t="n">
        <v>100</v>
      </c>
      <c r="D16" s="5" t="n">
        <v>100</v>
      </c>
      <c r="E16" s="5" t="n">
        <v>100</v>
      </c>
      <c r="F16" s="5" t="n">
        <v>100</v>
      </c>
      <c r="G16" s="5" t="n">
        <v>100</v>
      </c>
      <c r="H16" s="5" t="n">
        <v>100</v>
      </c>
      <c r="I16" s="5" t="n">
        <v>100</v>
      </c>
      <c r="J16" s="5" t="n">
        <v>100</v>
      </c>
      <c r="K16" s="5" t="n">
        <v>100</v>
      </c>
      <c r="L16" s="5" t="n">
        <v>100</v>
      </c>
      <c r="M16" s="5" t="n">
        <v>0</v>
      </c>
      <c r="N16" s="5" t="n">
        <v>0</v>
      </c>
      <c r="O16" s="15" t="n">
        <f aca="false">SUM(C16:N16)</f>
        <v>1000</v>
      </c>
      <c r="P16" s="16" t="n">
        <f aca="false">O16/$O$18</f>
        <v>0.0417362270450751</v>
      </c>
    </row>
    <row r="17" customFormat="false" ht="15" hidden="false" customHeight="true" outlineLevel="0" collapsed="false">
      <c r="A17" s="4" t="s">
        <v>61</v>
      </c>
      <c r="B17" s="14" t="s">
        <v>62</v>
      </c>
      <c r="C17" s="5" t="n">
        <v>80</v>
      </c>
      <c r="D17" s="5" t="n">
        <v>80</v>
      </c>
      <c r="E17" s="5" t="n">
        <v>80</v>
      </c>
      <c r="F17" s="5" t="n">
        <v>80</v>
      </c>
      <c r="G17" s="5" t="n">
        <v>80</v>
      </c>
      <c r="H17" s="5" t="n">
        <v>80</v>
      </c>
      <c r="I17" s="5" t="n">
        <v>80</v>
      </c>
      <c r="J17" s="5" t="n">
        <v>80</v>
      </c>
      <c r="K17" s="5" t="n">
        <v>80</v>
      </c>
      <c r="L17" s="5" t="n">
        <v>80</v>
      </c>
      <c r="M17" s="5" t="n">
        <v>80</v>
      </c>
      <c r="N17" s="5" t="n">
        <v>80</v>
      </c>
      <c r="O17" s="15" t="n">
        <f aca="false">SUM(C17:N17)</f>
        <v>960</v>
      </c>
      <c r="P17" s="16" t="n">
        <f aca="false">O17/$O$18</f>
        <v>0.0400667779632721</v>
      </c>
    </row>
    <row r="18" customFormat="false" ht="15" hidden="false" customHeight="true" outlineLevel="0" collapsed="false">
      <c r="A18" s="9" t="s">
        <v>63</v>
      </c>
      <c r="C18" s="17" t="n">
        <f aca="false">C5+C6+C8+C9+C11+C12+C13+C15+C16+C17</f>
        <v>2180</v>
      </c>
      <c r="D18" s="17" t="n">
        <f aca="false">D5+D6+D8+D9+D11+D12+D13+D15+D16+D17</f>
        <v>1580</v>
      </c>
      <c r="E18" s="17" t="n">
        <f aca="false">E5+E6+E8+E9+E11+E12+E13+E15+E16+E17</f>
        <v>1580</v>
      </c>
      <c r="F18" s="17" t="n">
        <f aca="false">F5+F6+F8+F9+F11+F12+F13+F15+F16+F17</f>
        <v>1930</v>
      </c>
      <c r="G18" s="17" t="n">
        <f aca="false">G5+G6+G8+G9+G11+G12+G13+G15+G16+G17</f>
        <v>2230</v>
      </c>
      <c r="H18" s="17" t="n">
        <f aca="false">H5+H6+H8+H9+H11+H12+H13+H15+H16+H17</f>
        <v>2030</v>
      </c>
      <c r="I18" s="17" t="n">
        <f aca="false">I5+I6+I8+I9+I11+I12+I13+I15+I16+I17</f>
        <v>2230</v>
      </c>
      <c r="J18" s="17" t="n">
        <f aca="false">J5+J6+J8+J9+J11+J12+J13+J15+J16+J17</f>
        <v>1530</v>
      </c>
      <c r="K18" s="17" t="n">
        <f aca="false">K5+K6+K8+K9+K11+K12+K13+K15+K16+K17</f>
        <v>2480</v>
      </c>
      <c r="L18" s="17" t="n">
        <f aca="false">L5+L6+L8+L9+L11+L12+L13+L15+L16+L17</f>
        <v>2080</v>
      </c>
      <c r="M18" s="17" t="n">
        <f aca="false">M5+M6+M8+M9+M11+M12+M13+M15+M16+M17</f>
        <v>2030</v>
      </c>
      <c r="N18" s="17" t="n">
        <f aca="false">N5+N6+N8+N9+N11+N12+N13+N15+N16+N17</f>
        <v>2080</v>
      </c>
      <c r="O18" s="18" t="n">
        <f aca="false">SUM(C18:N18)</f>
        <v>23960</v>
      </c>
      <c r="P18" s="19" t="n">
        <f aca="false">SUM(P4:P17)</f>
        <v>1</v>
      </c>
    </row>
    <row r="20" customFormat="false" ht="15" hidden="false" customHeight="true" outlineLevel="0" collapsed="false">
      <c r="A20" s="4" t="s">
        <v>64</v>
      </c>
      <c r="B20" s="20" t="n">
        <f aca="false">Annahmen!B4*Annahmen!B7</f>
        <v>24000</v>
      </c>
    </row>
    <row r="21" customFormat="false" ht="15" hidden="false" customHeight="true" outlineLevel="0" collapsed="false">
      <c r="A21" s="4" t="s">
        <v>65</v>
      </c>
      <c r="B21" s="15" t="n">
        <f aca="false">O18-B20</f>
        <v>-40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62"/>
    <col collapsed="false" customWidth="true" hidden="false" outlineLevel="0" max="4" min="4" style="1" width="32"/>
    <col collapsed="false" customWidth="true" hidden="false" outlineLevel="0" max="5" min="5" style="1" width="14"/>
    <col collapsed="false" customWidth="true" hidden="false" outlineLevel="0" max="6" min="6" style="1" width="10"/>
  </cols>
  <sheetData>
    <row r="1" customFormat="false" ht="17.25" hidden="false" customHeight="true" outlineLevel="0" collapsed="false">
      <c r="A1" s="2" t="s">
        <v>66</v>
      </c>
    </row>
    <row r="3" customFormat="false" ht="15" hidden="false" customHeight="true" outlineLevel="0" collapsed="false">
      <c r="A3" s="3" t="s">
        <v>67</v>
      </c>
      <c r="B3" s="3" t="s">
        <v>26</v>
      </c>
      <c r="C3" s="3" t="s">
        <v>68</v>
      </c>
      <c r="D3" s="3" t="s">
        <v>69</v>
      </c>
      <c r="E3" s="3" t="s">
        <v>70</v>
      </c>
      <c r="F3" s="3" t="s">
        <v>71</v>
      </c>
    </row>
    <row r="4" customFormat="false" ht="15" hidden="false" customHeight="true" outlineLevel="0" collapsed="false">
      <c r="A4" s="21" t="s">
        <v>72</v>
      </c>
      <c r="B4" s="21" t="s">
        <v>73</v>
      </c>
      <c r="C4" s="22" t="s">
        <v>74</v>
      </c>
      <c r="D4" s="22" t="s">
        <v>75</v>
      </c>
      <c r="E4" s="21" t="s">
        <v>76</v>
      </c>
      <c r="F4" s="21"/>
    </row>
    <row r="5" customFormat="false" ht="23.25" hidden="false" customHeight="true" outlineLevel="0" collapsed="false">
      <c r="A5" s="21" t="s">
        <v>77</v>
      </c>
      <c r="B5" s="21" t="s">
        <v>73</v>
      </c>
      <c r="C5" s="22" t="s">
        <v>78</v>
      </c>
      <c r="D5" s="22" t="s">
        <v>79</v>
      </c>
      <c r="E5" s="21" t="s">
        <v>80</v>
      </c>
      <c r="F5" s="21"/>
    </row>
    <row r="6" customFormat="false" ht="15" hidden="false" customHeight="true" outlineLevel="0" collapsed="false">
      <c r="A6" s="21" t="s">
        <v>77</v>
      </c>
      <c r="B6" s="21" t="s">
        <v>81</v>
      </c>
      <c r="C6" s="22" t="s">
        <v>82</v>
      </c>
      <c r="D6" s="22" t="s">
        <v>83</v>
      </c>
      <c r="E6" s="21" t="s">
        <v>80</v>
      </c>
      <c r="F6" s="21"/>
    </row>
    <row r="7" customFormat="false" ht="15" hidden="false" customHeight="true" outlineLevel="0" collapsed="false">
      <c r="A7" s="21" t="s">
        <v>77</v>
      </c>
      <c r="B7" s="21" t="s">
        <v>62</v>
      </c>
      <c r="C7" s="22" t="s">
        <v>84</v>
      </c>
      <c r="D7" s="22" t="s">
        <v>85</v>
      </c>
      <c r="E7" s="21" t="s">
        <v>76</v>
      </c>
      <c r="F7" s="21"/>
    </row>
    <row r="8" customFormat="false" ht="23.25" hidden="false" customHeight="true" outlineLevel="0" collapsed="false">
      <c r="A8" s="21" t="s">
        <v>86</v>
      </c>
      <c r="B8" s="21" t="s">
        <v>53</v>
      </c>
      <c r="C8" s="22" t="s">
        <v>87</v>
      </c>
      <c r="D8" s="22" t="s">
        <v>88</v>
      </c>
      <c r="E8" s="21" t="s">
        <v>76</v>
      </c>
      <c r="F8" s="21"/>
    </row>
    <row r="9" customFormat="false" ht="23.25" hidden="false" customHeight="true" outlineLevel="0" collapsed="false">
      <c r="A9" s="21" t="s">
        <v>86</v>
      </c>
      <c r="B9" s="21" t="s">
        <v>89</v>
      </c>
      <c r="C9" s="22" t="s">
        <v>90</v>
      </c>
      <c r="D9" s="22" t="s">
        <v>91</v>
      </c>
      <c r="E9" s="21" t="s">
        <v>76</v>
      </c>
      <c r="F9" s="21"/>
    </row>
    <row r="10" customFormat="false" ht="15" hidden="false" customHeight="true" outlineLevel="0" collapsed="false">
      <c r="A10" s="21" t="s">
        <v>92</v>
      </c>
      <c r="B10" s="21" t="s">
        <v>53</v>
      </c>
      <c r="C10" s="22" t="s">
        <v>93</v>
      </c>
      <c r="D10" s="22" t="s">
        <v>94</v>
      </c>
      <c r="E10" s="21" t="s">
        <v>80</v>
      </c>
      <c r="F10" s="21"/>
    </row>
    <row r="11" customFormat="false" ht="15" hidden="false" customHeight="true" outlineLevel="0" collapsed="false">
      <c r="A11" s="21" t="s">
        <v>92</v>
      </c>
      <c r="B11" s="21" t="s">
        <v>81</v>
      </c>
      <c r="C11" s="22" t="s">
        <v>95</v>
      </c>
      <c r="D11" s="22" t="s">
        <v>96</v>
      </c>
      <c r="E11" s="21" t="s">
        <v>76</v>
      </c>
      <c r="F11" s="21"/>
    </row>
    <row r="12" customFormat="false" ht="15" hidden="false" customHeight="true" outlineLevel="0" collapsed="false">
      <c r="A12" s="21" t="s">
        <v>97</v>
      </c>
      <c r="B12" s="21" t="s">
        <v>45</v>
      </c>
      <c r="C12" s="22" t="s">
        <v>98</v>
      </c>
      <c r="D12" s="22" t="s">
        <v>99</v>
      </c>
      <c r="E12" s="21" t="s">
        <v>80</v>
      </c>
      <c r="F12" s="21"/>
    </row>
    <row r="13" customFormat="false" ht="15" hidden="false" customHeight="true" outlineLevel="0" collapsed="false">
      <c r="A13" s="21" t="s">
        <v>100</v>
      </c>
      <c r="B13" s="21" t="s">
        <v>45</v>
      </c>
      <c r="C13" s="22" t="s">
        <v>101</v>
      </c>
      <c r="D13" s="22" t="s">
        <v>102</v>
      </c>
      <c r="E13" s="21" t="s">
        <v>76</v>
      </c>
      <c r="F13" s="21"/>
    </row>
    <row r="14" customFormat="false" ht="15" hidden="false" customHeight="true" outlineLevel="0" collapsed="false">
      <c r="A14" s="21" t="s">
        <v>100</v>
      </c>
      <c r="B14" s="21" t="s">
        <v>89</v>
      </c>
      <c r="C14" s="22" t="s">
        <v>103</v>
      </c>
      <c r="D14" s="22" t="s">
        <v>104</v>
      </c>
      <c r="E14" s="21" t="s">
        <v>76</v>
      </c>
      <c r="F14" s="21"/>
    </row>
    <row r="15" customFormat="false" ht="23.25" hidden="false" customHeight="true" outlineLevel="0" collapsed="false">
      <c r="A15" s="21" t="s">
        <v>105</v>
      </c>
      <c r="B15" s="21" t="s">
        <v>53</v>
      </c>
      <c r="C15" s="22" t="s">
        <v>106</v>
      </c>
      <c r="D15" s="22" t="s">
        <v>107</v>
      </c>
      <c r="E15" s="21" t="s">
        <v>76</v>
      </c>
      <c r="F15" s="21"/>
    </row>
    <row r="16" customFormat="false" ht="23.25" hidden="false" customHeight="true" outlineLevel="0" collapsed="false">
      <c r="A16" s="21" t="s">
        <v>105</v>
      </c>
      <c r="B16" s="21" t="s">
        <v>62</v>
      </c>
      <c r="C16" s="22" t="s">
        <v>108</v>
      </c>
      <c r="D16" s="22" t="s">
        <v>109</v>
      </c>
      <c r="E16" s="21" t="s">
        <v>76</v>
      </c>
      <c r="F16" s="21"/>
    </row>
    <row r="17" customFormat="false" ht="15" hidden="false" customHeight="true" outlineLevel="0" collapsed="false">
      <c r="A17" s="21" t="s">
        <v>110</v>
      </c>
      <c r="B17" s="21" t="s">
        <v>81</v>
      </c>
      <c r="C17" s="22" t="s">
        <v>111</v>
      </c>
      <c r="D17" s="22" t="s">
        <v>112</v>
      </c>
      <c r="E17" s="21" t="s">
        <v>80</v>
      </c>
      <c r="F17" s="21"/>
    </row>
    <row r="18" customFormat="false" ht="23.25" hidden="false" customHeight="true" outlineLevel="0" collapsed="false">
      <c r="A18" s="21" t="s">
        <v>110</v>
      </c>
      <c r="B18" s="21" t="s">
        <v>81</v>
      </c>
      <c r="C18" s="22" t="s">
        <v>113</v>
      </c>
      <c r="D18" s="22" t="s">
        <v>114</v>
      </c>
      <c r="E18" s="21" t="s">
        <v>76</v>
      </c>
      <c r="F18" s="21"/>
    </row>
    <row r="19" customFormat="false" ht="15" hidden="false" customHeight="true" outlineLevel="0" collapsed="false">
      <c r="A19" s="21" t="s">
        <v>115</v>
      </c>
      <c r="B19" s="21" t="s">
        <v>73</v>
      </c>
      <c r="C19" s="22" t="s">
        <v>116</v>
      </c>
      <c r="D19" s="22" t="s">
        <v>117</v>
      </c>
      <c r="E19" s="21" t="s">
        <v>80</v>
      </c>
      <c r="F19" s="21"/>
    </row>
    <row r="20" customFormat="false" ht="23.25" hidden="false" customHeight="true" outlineLevel="0" collapsed="false">
      <c r="A20" s="21" t="s">
        <v>118</v>
      </c>
      <c r="B20" s="21" t="s">
        <v>89</v>
      </c>
      <c r="C20" s="22" t="s">
        <v>119</v>
      </c>
      <c r="D20" s="22" t="s">
        <v>120</v>
      </c>
      <c r="E20" s="21" t="s">
        <v>76</v>
      </c>
      <c r="F20" s="21"/>
    </row>
    <row r="21" customFormat="false" ht="15" hidden="false" customHeight="true" outlineLevel="0" collapsed="false">
      <c r="A21" s="21" t="s">
        <v>118</v>
      </c>
      <c r="B21" s="21" t="s">
        <v>53</v>
      </c>
      <c r="C21" s="22" t="s">
        <v>121</v>
      </c>
      <c r="D21" s="22" t="s">
        <v>122</v>
      </c>
      <c r="E21" s="21" t="s">
        <v>80</v>
      </c>
      <c r="F21" s="21"/>
    </row>
    <row r="22" customFormat="false" ht="15" hidden="false" customHeight="true" outlineLevel="0" collapsed="false">
      <c r="A22" s="21" t="s">
        <v>123</v>
      </c>
      <c r="B22" s="21" t="s">
        <v>81</v>
      </c>
      <c r="C22" s="22" t="s">
        <v>124</v>
      </c>
      <c r="D22" s="22" t="s">
        <v>125</v>
      </c>
      <c r="E22" s="21" t="s">
        <v>80</v>
      </c>
      <c r="F22" s="21"/>
    </row>
    <row r="23" customFormat="false" ht="15" hidden="false" customHeight="true" outlineLevel="0" collapsed="false">
      <c r="A23" s="21" t="s">
        <v>126</v>
      </c>
      <c r="B23" s="21" t="s">
        <v>89</v>
      </c>
      <c r="C23" s="22" t="s">
        <v>127</v>
      </c>
      <c r="D23" s="22" t="s">
        <v>128</v>
      </c>
      <c r="E23" s="21" t="s">
        <v>80</v>
      </c>
      <c r="F23" s="21"/>
    </row>
    <row r="24" customFormat="false" ht="15" hidden="false" customHeight="true" outlineLevel="0" collapsed="false">
      <c r="A24" s="21" t="s">
        <v>129</v>
      </c>
      <c r="B24" s="21" t="s">
        <v>62</v>
      </c>
      <c r="C24" s="22" t="s">
        <v>130</v>
      </c>
      <c r="D24" s="22" t="s">
        <v>131</v>
      </c>
      <c r="E24" s="21" t="s">
        <v>76</v>
      </c>
      <c r="F24" s="21"/>
    </row>
    <row r="25" customFormat="false" ht="15" hidden="false" customHeight="true" outlineLevel="0" collapsed="false">
      <c r="A25" s="21" t="s">
        <v>129</v>
      </c>
      <c r="B25" s="21" t="s">
        <v>53</v>
      </c>
      <c r="C25" s="22" t="s">
        <v>132</v>
      </c>
      <c r="D25" s="22" t="s">
        <v>133</v>
      </c>
      <c r="E25" s="21" t="s">
        <v>80</v>
      </c>
      <c r="F2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134</v>
      </c>
    </row>
    <row r="3" customFormat="false" ht="15" hidden="false" customHeight="true" outlineLevel="0" collapsed="false">
      <c r="A3" s="3" t="s">
        <v>135</v>
      </c>
      <c r="B3" s="3" t="s">
        <v>26</v>
      </c>
      <c r="C3" s="3" t="s">
        <v>136</v>
      </c>
      <c r="D3" s="3" t="s">
        <v>137</v>
      </c>
    </row>
    <row r="4" customFormat="false" ht="15" hidden="false" customHeight="true" outlineLevel="0" collapsed="false">
      <c r="A4" s="4" t="s">
        <v>138</v>
      </c>
      <c r="B4" s="4" t="s">
        <v>73</v>
      </c>
      <c r="C4" s="23" t="n">
        <f aca="false">Annahmen!B9</f>
        <v>45</v>
      </c>
      <c r="D4" s="6" t="s">
        <v>139</v>
      </c>
    </row>
    <row r="5" customFormat="false" ht="15" hidden="false" customHeight="true" outlineLevel="0" collapsed="false">
      <c r="A5" s="4" t="s">
        <v>140</v>
      </c>
      <c r="B5" s="4" t="s">
        <v>73</v>
      </c>
      <c r="C5" s="20" t="n">
        <f aca="false">Annahmen!B9*Annahmen!B12</f>
        <v>112500</v>
      </c>
      <c r="D5" s="6" t="s">
        <v>141</v>
      </c>
    </row>
    <row r="6" customFormat="false" ht="15" hidden="false" customHeight="true" outlineLevel="0" collapsed="false">
      <c r="A6" s="4" t="s">
        <v>142</v>
      </c>
      <c r="B6" s="4" t="s">
        <v>81</v>
      </c>
      <c r="C6" s="23" t="n">
        <f aca="false">Annahmen!B10</f>
        <v>4</v>
      </c>
      <c r="D6" s="6" t="s">
        <v>143</v>
      </c>
    </row>
    <row r="7" customFormat="false" ht="15" hidden="false" customHeight="true" outlineLevel="0" collapsed="false">
      <c r="A7" s="4" t="s">
        <v>144</v>
      </c>
      <c r="B7" s="4" t="s">
        <v>81</v>
      </c>
      <c r="C7" s="20" t="n">
        <f aca="false">Annahmen!B10*Annahmen!B11*12</f>
        <v>120000</v>
      </c>
      <c r="D7" s="6" t="s">
        <v>145</v>
      </c>
    </row>
    <row r="8" customFormat="false" ht="15" hidden="false" customHeight="true" outlineLevel="0" collapsed="false">
      <c r="A8" s="4" t="s">
        <v>146</v>
      </c>
      <c r="B8" s="4" t="s">
        <v>62</v>
      </c>
      <c r="C8" s="20" t="n">
        <f aca="false">Annahmen!B8</f>
        <v>300</v>
      </c>
      <c r="D8" s="6" t="s">
        <v>147</v>
      </c>
    </row>
    <row r="9" customFormat="false" ht="15" hidden="false" customHeight="true" outlineLevel="0" collapsed="false">
      <c r="A9" s="4" t="s">
        <v>148</v>
      </c>
      <c r="B9" s="4" t="s">
        <v>62</v>
      </c>
      <c r="C9" s="23" t="n">
        <f aca="false">ROUND(Monatsbudget!O18/12/Annahmen!B8,0)</f>
        <v>7</v>
      </c>
      <c r="D9" s="6" t="s">
        <v>149</v>
      </c>
    </row>
    <row r="10" customFormat="false" ht="15" hidden="false" customHeight="true" outlineLevel="0" collapsed="false">
      <c r="A10" s="4" t="s">
        <v>150</v>
      </c>
      <c r="B10" s="4" t="s">
        <v>62</v>
      </c>
      <c r="C10" s="7" t="n">
        <v>0.4</v>
      </c>
      <c r="D10" s="6" t="s">
        <v>151</v>
      </c>
    </row>
    <row r="11" customFormat="false" ht="15" hidden="false" customHeight="true" outlineLevel="0" collapsed="false">
      <c r="A11" s="4" t="s">
        <v>152</v>
      </c>
      <c r="B11" s="4" t="s">
        <v>81</v>
      </c>
      <c r="C11" s="24" t="n">
        <f aca="false">C7/Annahmen!B5</f>
        <v>0.171428571428571</v>
      </c>
      <c r="D11" s="6" t="s">
        <v>153</v>
      </c>
    </row>
    <row r="12" customFormat="false" ht="15" hidden="false" customHeight="true" outlineLevel="0" collapsed="false">
      <c r="A12" s="4" t="s">
        <v>154</v>
      </c>
      <c r="B12" s="4" t="s">
        <v>81</v>
      </c>
      <c r="C12" s="8" t="n">
        <v>50000</v>
      </c>
      <c r="D12" s="6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2026-06-11T20:21:06Z</dcterms:created>
  <dc:creator>openpyxl</dc:creator>
  <dc:description/>
  <dc:language>en-US</dc:language>
  <cp:lastModifiedBy/>
  <dcterms:modified xsi:type="dcterms:W3CDTF">2026-06-11T20:22:25Z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